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;(₹#,##0);-"/>
    <numFmt numFmtId="165" formatCode="0.0%;(0.0%);-"/>
    <numFmt numFmtId="166" formatCode="#,##0;(#,##0);-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C00000"/>
    </font>
    <font>
      <name val="Arial"/>
      <i val="1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CE3EC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C5D0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1" pivotButton="0" quotePrefix="0" xfId="0"/>
    <xf numFmtId="0" fontId="6" fillId="3" borderId="1" pivotButton="0" quotePrefix="0" xfId="0"/>
    <xf numFmtId="0" fontId="0" fillId="0" borderId="1" pivotButton="0" quotePrefix="0" xfId="0"/>
    <xf numFmtId="164" fontId="6" fillId="3" borderId="1" pivotButton="0" quotePrefix="0" xfId="0"/>
    <xf numFmtId="165" fontId="6" fillId="3" borderId="1" pivotButton="0" quotePrefix="0" xfId="0"/>
    <xf numFmtId="165" fontId="5" fillId="0" borderId="1" pivotButton="0" quotePrefix="0" xfId="0"/>
    <xf numFmtId="166" fontId="6" fillId="3" borderId="1" pivotButton="0" quotePrefix="0" xfId="0"/>
    <xf numFmtId="164" fontId="5" fillId="0" borderId="1" pivotButton="0" quotePrefix="0" xfId="0"/>
    <xf numFmtId="0" fontId="4" fillId="0" borderId="1" pivotButton="0" quotePrefix="0" xfId="0"/>
    <xf numFmtId="166" fontId="5" fillId="0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B7" authorId="0" shapeId="0">
      <text>
        <t>EXAMPLE only. The founders set the real prices.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18" customWidth="1" min="4" max="4"/>
    <col width="16" customWidth="1" min="5" max="5"/>
    <col width="58" customWidth="1" min="6" max="6"/>
  </cols>
  <sheetData>
    <row r="1">
      <c r="A1" s="1" t="inlineStr">
        <is>
          <t>Vedha: 7-day check price list and partner margin model</t>
        </is>
      </c>
    </row>
    <row r="2">
      <c r="A2" s="2" t="inlineStr">
        <is>
          <t>EXAMPLE NUMBERS, NOT A PROPOSAL. Replace every yellow cell with your own figures, then sign off.</t>
        </is>
      </c>
    </row>
    <row r="3">
      <c r="A3" s="3" t="inlineStr">
        <is>
          <t>Legend: blue text on yellow = input you edit. Black = formula (don't edit). INR, excluding GST unless stated.</t>
        </is>
      </c>
    </row>
    <row r="5">
      <c r="A5" s="4" t="inlineStr">
        <is>
          <t>PRICE LIST (per check)</t>
        </is>
      </c>
      <c r="B5" s="4" t="inlineStr">
        <is>
          <t>Starter</t>
        </is>
      </c>
      <c r="C5" s="4" t="inlineStr">
        <is>
          <t>Standard</t>
        </is>
      </c>
      <c r="D5" s="4" t="inlineStr">
        <is>
          <t>Plus</t>
        </is>
      </c>
      <c r="E5" s="4" t="inlineStr">
        <is>
          <t>Blended</t>
        </is>
      </c>
      <c r="F5" s="4" t="inlineStr">
        <is>
          <t>Notes</t>
        </is>
      </c>
    </row>
    <row r="6">
      <c r="A6" s="5" t="inlineStr">
        <is>
          <t>Office size covered</t>
        </is>
      </c>
      <c r="B6" s="6" t="inlineStr">
        <is>
          <t>Up to 25 devices</t>
        </is>
      </c>
      <c r="C6" s="6" t="inlineStr">
        <is>
          <t>Up to 75 devices</t>
        </is>
      </c>
      <c r="D6" s="6" t="inlineStr">
        <is>
          <t>Up to 150 devices</t>
        </is>
      </c>
      <c r="E6" s="7" t="n"/>
      <c r="F6" s="5" t="inlineStr">
        <is>
          <t>EXAMPLE tiers. [CONFIRM] device bands</t>
        </is>
      </c>
    </row>
    <row r="7">
      <c r="A7" s="5" t="inlineStr">
        <is>
          <t>List price per check (₹, excl. GST)</t>
        </is>
      </c>
      <c r="B7" s="8" t="n">
        <v>15000</v>
      </c>
      <c r="C7" s="8" t="n">
        <v>30000</v>
      </c>
      <c r="D7" s="8" t="n">
        <v>50000</v>
      </c>
      <c r="E7" s="7" t="n"/>
      <c r="F7" s="5" t="inlineStr">
        <is>
          <t>EXAMPLE prices, not a proposal</t>
        </is>
      </c>
    </row>
    <row r="8">
      <c r="A8" s="5" t="inlineStr">
        <is>
          <t>Tier mix (share of clients)</t>
        </is>
      </c>
      <c r="B8" s="9" t="n">
        <v>0.5</v>
      </c>
      <c r="C8" s="9" t="n">
        <v>0.35</v>
      </c>
      <c r="D8" s="9" t="n">
        <v>0.15</v>
      </c>
      <c r="E8" s="10">
        <f>SUM(B8:D8)</f>
        <v/>
      </c>
      <c r="F8" s="5" t="inlineStr">
        <is>
          <t>Must total 100% (check the Blended cell)</t>
        </is>
      </c>
    </row>
    <row r="9">
      <c r="A9" s="7" t="n"/>
      <c r="B9" s="7" t="n"/>
      <c r="C9" s="7" t="n"/>
      <c r="D9" s="7" t="n"/>
      <c r="E9" s="7" t="n"/>
      <c r="F9" s="7" t="n"/>
    </row>
    <row r="10">
      <c r="A10" s="4" t="inlineStr">
        <is>
          <t>ASSUMPTIONS</t>
        </is>
      </c>
      <c r="B10" s="4" t="inlineStr">
        <is>
          <t>Value</t>
        </is>
      </c>
      <c r="C10" s="4" t="inlineStr"/>
      <c r="D10" s="4" t="inlineStr"/>
      <c r="E10" s="4" t="inlineStr"/>
      <c r="F10" s="4" t="inlineStr">
        <is>
          <t>Notes / source</t>
        </is>
      </c>
    </row>
    <row r="11">
      <c r="A11" s="5" t="inlineStr">
        <is>
          <t>GST rate</t>
        </is>
      </c>
      <c r="B11" s="9" t="n">
        <v>0.18</v>
      </c>
      <c r="C11" s="7" t="n"/>
      <c r="D11" s="7" t="n"/>
      <c r="E11" s="7" t="n"/>
      <c r="F11" s="5" t="inlineStr">
        <is>
          <t>18% on IT/consulting services (SAC 9983). Verify with your CA.</t>
        </is>
      </c>
    </row>
    <row r="12">
      <c r="A12" s="5" t="inlineStr">
        <is>
          <t>Partner discount on list price</t>
        </is>
      </c>
      <c r="B12" s="9" t="n">
        <v>0.3</v>
      </c>
      <c r="C12" s="7" t="n"/>
      <c r="D12" s="7" t="n"/>
      <c r="E12" s="7" t="n"/>
      <c r="F12" s="5" t="inlineStr">
        <is>
          <t>EXAMPLE. The partner's check margin</t>
        </is>
      </c>
    </row>
    <row r="13">
      <c r="A13" s="5" t="inlineStr">
        <is>
          <t>Founder hours per check</t>
        </is>
      </c>
      <c r="B13" s="11" t="n">
        <v>6</v>
      </c>
      <c r="C13" s="7" t="n"/>
      <c r="D13" s="7" t="n"/>
      <c r="E13" s="7" t="n"/>
      <c r="F13" s="5" t="inlineStr">
        <is>
          <t>Replace with the measured hours from #16 (Partner Zero checks)</t>
        </is>
      </c>
    </row>
    <row r="14">
      <c r="A14" s="5" t="inlineStr">
        <is>
          <t>Founder cost per hour (₹)</t>
        </is>
      </c>
      <c r="B14" s="8" t="n">
        <v>1500</v>
      </c>
      <c r="C14" s="7" t="n"/>
      <c r="D14" s="7" t="n"/>
      <c r="E14" s="7" t="n"/>
      <c r="F14" s="5" t="inlineStr">
        <is>
          <t>EXAMPLE opportunity cost</t>
        </is>
      </c>
    </row>
    <row r="15">
      <c r="A15" s="5" t="inlineStr">
        <is>
          <t>Infrastructure + tooling per check (₹)</t>
        </is>
      </c>
      <c r="B15" s="8" t="n">
        <v>500</v>
      </c>
      <c r="C15" s="7" t="n"/>
      <c r="D15" s="7" t="n"/>
      <c r="E15" s="7" t="n"/>
      <c r="F15" s="5" t="inlineStr">
        <is>
          <t>EXAMPLE: hosting, probe, report generation</t>
        </is>
      </c>
    </row>
    <row r="16">
      <c r="A16" s="5" t="inlineStr">
        <is>
          <t>Remediation hours per client (average)</t>
        </is>
      </c>
      <c r="B16" s="11" t="n">
        <v>8</v>
      </c>
      <c r="C16" s="7" t="n"/>
      <c r="D16" s="7" t="n"/>
      <c r="E16" s="7" t="n"/>
      <c r="F16" s="5" t="inlineStr">
        <is>
          <t>EXAMPLE: partner work to fix findings</t>
        </is>
      </c>
    </row>
    <row r="17">
      <c r="A17" s="5" t="inlineStr">
        <is>
          <t>Partner hourly rate (₹)</t>
        </is>
      </c>
      <c r="B17" s="8" t="n">
        <v>1500</v>
      </c>
      <c r="C17" s="7" t="n"/>
      <c r="D17" s="7" t="n"/>
      <c r="E17" s="7" t="n"/>
      <c r="F17" s="5" t="inlineStr">
        <is>
          <t>EXAMPLE: the partner's own rate</t>
        </is>
      </c>
    </row>
    <row r="18">
      <c r="A18" s="5" t="inlineStr">
        <is>
          <t>Share of clients who buy remediation</t>
        </is>
      </c>
      <c r="B18" s="9" t="n">
        <v>0.6</v>
      </c>
      <c r="C18" s="7" t="n"/>
      <c r="D18" s="7" t="n"/>
      <c r="E18" s="7" t="n"/>
      <c r="F18" s="5" t="inlineStr">
        <is>
          <t>EXAMPLE</t>
        </is>
      </c>
    </row>
    <row r="19">
      <c r="A19" s="5" t="inlineStr">
        <is>
          <t>Renewal rate (year 2 check)</t>
        </is>
      </c>
      <c r="B19" s="9" t="n">
        <v>0.5</v>
      </c>
      <c r="C19" s="7" t="n"/>
      <c r="D19" s="7" t="n"/>
      <c r="E19" s="7" t="n"/>
      <c r="F19" s="5" t="inlineStr">
        <is>
          <t>EXAMPLE</t>
        </is>
      </c>
    </row>
    <row r="20">
      <c r="A20" s="5" t="inlineStr">
        <is>
          <t>Renewal price (% of list)</t>
        </is>
      </c>
      <c r="B20" s="9" t="n">
        <v>0.8</v>
      </c>
      <c r="C20" s="7" t="n"/>
      <c r="D20" s="7" t="n"/>
      <c r="E20" s="7" t="n"/>
      <c r="F20" s="5" t="inlineStr">
        <is>
          <t>EXAMPLE</t>
        </is>
      </c>
    </row>
    <row r="21">
      <c r="A21" s="7" t="n"/>
      <c r="B21" s="7" t="n"/>
      <c r="C21" s="7" t="n"/>
      <c r="D21" s="7" t="n"/>
      <c r="E21" s="7" t="n"/>
      <c r="F21" s="7" t="n"/>
    </row>
    <row r="22">
      <c r="A22" s="4" t="inlineStr">
        <is>
          <t>PER CLIENT</t>
        </is>
      </c>
      <c r="B22" s="4" t="inlineStr">
        <is>
          <t>Starter</t>
        </is>
      </c>
      <c r="C22" s="4" t="inlineStr">
        <is>
          <t>Standard</t>
        </is>
      </c>
      <c r="D22" s="4" t="inlineStr">
        <is>
          <t>Plus</t>
        </is>
      </c>
      <c r="E22" s="4" t="inlineStr">
        <is>
          <t>Blended</t>
        </is>
      </c>
      <c r="F22" s="4" t="inlineStr">
        <is>
          <t>How it's calculated</t>
        </is>
      </c>
    </row>
    <row r="23">
      <c r="A23" s="5" t="inlineStr">
        <is>
          <t>Customer pays (incl. GST)</t>
        </is>
      </c>
      <c r="B23" s="12">
        <f>B7*(1+$B$11)</f>
        <v/>
      </c>
      <c r="C23" s="12">
        <f>C7*(1+$B$11)</f>
        <v/>
      </c>
      <c r="D23" s="12">
        <f>D7*(1+$B$11)</f>
        <v/>
      </c>
      <c r="E23" s="12">
        <f>SUMPRODUCT($B$8:$D$8,B23:D23)</f>
        <v/>
      </c>
      <c r="F23" s="5" t="inlineStr">
        <is>
          <t>List × (1 + GST)</t>
        </is>
      </c>
    </row>
    <row r="24">
      <c r="A24" s="5" t="inlineStr">
        <is>
          <t>Partner buys from Vedha (excl. GST)</t>
        </is>
      </c>
      <c r="B24" s="12">
        <f>B7*(1-$B$12)</f>
        <v/>
      </c>
      <c r="C24" s="12">
        <f>C7*(1-$B$12)</f>
        <v/>
      </c>
      <c r="D24" s="12">
        <f>D7*(1-$B$12)</f>
        <v/>
      </c>
      <c r="E24" s="12">
        <f>SUMPRODUCT($B$8:$D$8,B24:D24)</f>
        <v/>
      </c>
      <c r="F24" s="5" t="inlineStr">
        <is>
          <t>List × (1 − partner discount)</t>
        </is>
      </c>
    </row>
    <row r="25">
      <c r="A25" s="5" t="inlineStr">
        <is>
          <t>Partner margin on the check</t>
        </is>
      </c>
      <c r="B25" s="12">
        <f>B7-B24</f>
        <v/>
      </c>
      <c r="C25" s="12">
        <f>C7-C24</f>
        <v/>
      </c>
      <c r="D25" s="12">
        <f>D7-D24</f>
        <v/>
      </c>
      <c r="E25" s="12">
        <f>SUMPRODUCT($B$8:$D$8,B25:D25)</f>
        <v/>
      </c>
      <c r="F25" s="5" t="inlineStr">
        <is>
          <t>List − partner buy price</t>
        </is>
      </c>
    </row>
    <row r="26">
      <c r="A26" s="5" t="inlineStr">
        <is>
          <t>Vedha delivery cost</t>
        </is>
      </c>
      <c r="B26" s="12">
        <f>$B$13*$B$14+$B$15</f>
        <v/>
      </c>
      <c r="C26" s="12">
        <f>$B$13*$B$14+$B$15</f>
        <v/>
      </c>
      <c r="D26" s="12">
        <f>$B$13*$B$14+$B$15</f>
        <v/>
      </c>
      <c r="E26" s="12">
        <f>SUMPRODUCT($B$8:$D$8,B26:D26)</f>
        <v/>
      </c>
      <c r="F26" s="5" t="inlineStr">
        <is>
          <t>Founder hours × cost + infra</t>
        </is>
      </c>
    </row>
    <row r="27">
      <c r="A27" s="13" t="inlineStr">
        <is>
          <t>Vedha net per check</t>
        </is>
      </c>
      <c r="B27" s="12">
        <f>B24-B26</f>
        <v/>
      </c>
      <c r="C27" s="12">
        <f>C24-C26</f>
        <v/>
      </c>
      <c r="D27" s="12">
        <f>D24-D26</f>
        <v/>
      </c>
      <c r="E27" s="12">
        <f>SUMPRODUCT($B$8:$D$8,B27:D27)</f>
        <v/>
      </c>
      <c r="F27" s="5" t="inlineStr">
        <is>
          <t>Partner buy price − delivery cost</t>
        </is>
      </c>
    </row>
    <row r="28">
      <c r="A28" s="5" t="inlineStr">
        <is>
          <t>Vedha net margin</t>
        </is>
      </c>
      <c r="B28" s="10">
        <f>IF(B24=0,0,B27/B24)</f>
        <v/>
      </c>
      <c r="C28" s="10">
        <f>IF(C24=0,0,C27/C24)</f>
        <v/>
      </c>
      <c r="D28" s="10">
        <f>IF(D24=0,0,D27/D24)</f>
        <v/>
      </c>
      <c r="E28" s="10">
        <f>IF(E24=0,0,E27/E24)</f>
        <v/>
      </c>
      <c r="F28" s="5" t="inlineStr">
        <is>
          <t>Net ÷ Vedha revenue</t>
        </is>
      </c>
    </row>
    <row r="29">
      <c r="A29" s="5" t="inlineStr">
        <is>
          <t>Partner remediation revenue (expected)</t>
        </is>
      </c>
      <c r="B29" s="12">
        <f>$B$16*$B$17*$B$18</f>
        <v/>
      </c>
      <c r="C29" s="12">
        <f>$B$16*$B$17*$B$18</f>
        <v/>
      </c>
      <c r="D29" s="12">
        <f>$B$16*$B$17*$B$18</f>
        <v/>
      </c>
      <c r="E29" s="12">
        <f>SUMPRODUCT($B$8:$D$8,B29:D29)</f>
        <v/>
      </c>
      <c r="F29" s="5" t="inlineStr">
        <is>
          <t>Hours × rate × share who buy</t>
        </is>
      </c>
    </row>
    <row r="30">
      <c r="A30" s="5" t="inlineStr">
        <is>
          <t>Partner renewal margin (expected, year 2)</t>
        </is>
      </c>
      <c r="B30" s="12">
        <f>$B$19*B7*$B$20*$B$12</f>
        <v/>
      </c>
      <c r="C30" s="12">
        <f>$B$19*C7*$B$20*$B$12</f>
        <v/>
      </c>
      <c r="D30" s="12">
        <f>$B$19*D7*$B$20*$B$12</f>
        <v/>
      </c>
      <c r="E30" s="12">
        <f>SUMPRODUCT($B$8:$D$8,B30:D30)</f>
        <v/>
      </c>
      <c r="F30" s="5" t="inlineStr">
        <is>
          <t>Renewal rate × renewal price × discount</t>
        </is>
      </c>
    </row>
    <row r="31">
      <c r="A31" s="13" t="inlineStr">
        <is>
          <t>Partner total per client</t>
        </is>
      </c>
      <c r="B31" s="12">
        <f>B25+B29+B30</f>
        <v/>
      </c>
      <c r="C31" s="12">
        <f>C25+C29+C30</f>
        <v/>
      </c>
      <c r="D31" s="12">
        <f>D25+D29+D30</f>
        <v/>
      </c>
      <c r="E31" s="12">
        <f>SUMPRODUCT($B$8:$D$8,B31:D31)</f>
        <v/>
      </c>
      <c r="F31" s="5" t="inlineStr">
        <is>
          <t>Check margin + remediation + renewal</t>
        </is>
      </c>
    </row>
    <row r="32">
      <c r="A32" s="7" t="n"/>
      <c r="B32" s="7" t="n"/>
      <c r="C32" s="7" t="n"/>
      <c r="D32" s="7" t="n"/>
      <c r="E32" s="7" t="n"/>
      <c r="F32" s="7" t="n"/>
    </row>
    <row r="33">
      <c r="A33" s="4" t="inlineStr">
        <is>
          <t>PER PARTNER PER YEAR</t>
        </is>
      </c>
      <c r="B33" s="4" t="inlineStr">
        <is>
          <t>Scenario A</t>
        </is>
      </c>
      <c r="C33" s="4" t="inlineStr">
        <is>
          <t>Scenario B</t>
        </is>
      </c>
      <c r="D33" s="4" t="inlineStr">
        <is>
          <t>Scenario C</t>
        </is>
      </c>
      <c r="E33" s="4" t="inlineStr"/>
      <c r="F33" s="4" t="inlineStr">
        <is>
          <t>Uses the Blended column</t>
        </is>
      </c>
    </row>
    <row r="34">
      <c r="A34" s="5" t="inlineStr">
        <is>
          <t>Clients per partner per year</t>
        </is>
      </c>
      <c r="B34" s="11" t="n">
        <v>5</v>
      </c>
      <c r="C34" s="11" t="n">
        <v>10</v>
      </c>
      <c r="D34" s="11" t="n">
        <v>25</v>
      </c>
      <c r="E34" s="7" t="n"/>
      <c r="F34" s="7" t="n"/>
    </row>
    <row r="35">
      <c r="A35" s="13" t="inlineStr">
        <is>
          <t>Partner earnings per year</t>
        </is>
      </c>
      <c r="B35" s="12">
        <f>B34*$E$31</f>
        <v/>
      </c>
      <c r="C35" s="12">
        <f>C34*$E$31</f>
        <v/>
      </c>
      <c r="D35" s="12">
        <f>D34*$E$31</f>
        <v/>
      </c>
      <c r="E35" s="7" t="n"/>
      <c r="F35" s="7" t="n"/>
    </row>
    <row r="36">
      <c r="A36" s="5" t="inlineStr">
        <is>
          <t>Partner earnings per month</t>
        </is>
      </c>
      <c r="B36" s="12">
        <f>B35/12</f>
        <v/>
      </c>
      <c r="C36" s="12">
        <f>C35/12</f>
        <v/>
      </c>
      <c r="D36" s="12">
        <f>D35/12</f>
        <v/>
      </c>
      <c r="E36" s="7" t="n"/>
      <c r="F36" s="7" t="n"/>
    </row>
    <row r="37">
      <c r="A37" s="13" t="inlineStr">
        <is>
          <t>Vedha net from this partner per year</t>
        </is>
      </c>
      <c r="B37" s="12">
        <f>B34*$E$27</f>
        <v/>
      </c>
      <c r="C37" s="12">
        <f>C34*$E$27</f>
        <v/>
      </c>
      <c r="D37" s="12">
        <f>D34*$E$27</f>
        <v/>
      </c>
      <c r="E37" s="7" t="n"/>
      <c r="F37" s="7" t="n"/>
    </row>
    <row r="38">
      <c r="A38" s="5" t="inlineStr">
        <is>
          <t>Founder hours this partner needs per year</t>
        </is>
      </c>
      <c r="B38" s="14">
        <f>B34*$B$13</f>
        <v/>
      </c>
      <c r="C38" s="14">
        <f>C34*$B$13</f>
        <v/>
      </c>
      <c r="D38" s="14">
        <f>D34*$B$13</f>
        <v/>
      </c>
      <c r="E38" s="7" t="n"/>
      <c r="F38" s="5" t="inlineStr">
        <is>
          <t>If this exceeds founder capacity, the price or the hours must change</t>
        </is>
      </c>
    </row>
    <row r="40">
      <c r="A40" s="15" t="inlineStr">
        <is>
          <t>Sign-off</t>
        </is>
      </c>
    </row>
    <row r="41">
      <c r="A41" s="16" t="inlineStr">
        <is>
          <t>Approved by: ____________   Date: ____________</t>
        </is>
      </c>
    </row>
    <row r="42">
      <c r="A42" s="16" t="inlineStr">
        <is>
          <t>Then copy the final tiers into the deck (slide 8) and the competitive analysis (#8).</t>
        </is>
      </c>
    </row>
  </sheetData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2026-10-04T18:04:10Z</dcterms:created>
  <dcterms:modified xsi:type="dcterms:W3CDTF">2026-10-04T18:04:10Z</dcterms:modified>
</cp:coreProperties>
</file>